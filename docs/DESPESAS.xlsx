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media/image1.jpeg" ContentType="image/jpeg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dos" sheetId="1" state="visible" r:id="rId3"/>
    <sheet name="Dinamica" sheetId="2" state="visible" r:id="rId4"/>
    <sheet name="Menu" sheetId="3" state="visible" r:id="rId5"/>
    <sheet name="Planilha4" sheetId="4" state="visible" r:id="rId6"/>
  </sheets>
  <definedNames>
    <definedName function="false" hidden="false" name="SegmentaçãodeDados_Despesa" vbProcedure="false">#N/A</definedName>
    <definedName function="false" hidden="false" name="SegmentaçãodeDados_Mês" vbProcedure="false">#N/A</definedName>
  </definedName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<sst xmlns="http://schemas.openxmlformats.org/spreadsheetml/2006/main" count="115" uniqueCount="31">
  <si>
    <t xml:space="preserve">Despesa</t>
  </si>
  <si>
    <t xml:space="preserve">Felipe</t>
  </si>
  <si>
    <t xml:space="preserve">Thalya</t>
  </si>
  <si>
    <t xml:space="preserve">Mês</t>
  </si>
  <si>
    <t xml:space="preserve">Ap</t>
  </si>
  <si>
    <t xml:space="preserve">Agosto</t>
  </si>
  <si>
    <t xml:space="preserve">Casa</t>
  </si>
  <si>
    <t xml:space="preserve">SeguroAp</t>
  </si>
  <si>
    <t xml:space="preserve">Vivo</t>
  </si>
  <si>
    <t xml:space="preserve">Fmu</t>
  </si>
  <si>
    <t xml:space="preserve">Outros</t>
  </si>
  <si>
    <t xml:space="preserve">Irmão</t>
  </si>
  <si>
    <t xml:space="preserve">Setembro</t>
  </si>
  <si>
    <t xml:space="preserve">Outubro</t>
  </si>
  <si>
    <t xml:space="preserve">Novembro</t>
  </si>
  <si>
    <t xml:space="preserve">Dezembro</t>
  </si>
  <si>
    <t xml:space="preserve">Rótulos de linha</t>
  </si>
  <si>
    <t xml:space="preserve">Total Resultado</t>
  </si>
  <si>
    <t xml:space="preserve"> Felipe</t>
  </si>
  <si>
    <t xml:space="preserve"> Thalya</t>
  </si>
  <si>
    <t xml:space="preserve">Total  Felipe</t>
  </si>
  <si>
    <t xml:space="preserve">Total  Thalya</t>
  </si>
  <si>
    <t xml:space="preserve">Total Thalya</t>
  </si>
  <si>
    <t xml:space="preserve">Investido</t>
  </si>
  <si>
    <t xml:space="preserve">AP</t>
  </si>
  <si>
    <t xml:space="preserve">PARCELAS UNICAS</t>
  </si>
  <si>
    <t xml:space="preserve">TOTAL AP </t>
  </si>
  <si>
    <t xml:space="preserve">SALÁRIO</t>
  </si>
  <si>
    <t xml:space="preserve">total</t>
  </si>
  <si>
    <t xml:space="preserve">VR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</si>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</sst>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&quot;R$ &quot;#,##0.00"/>
    <numFmt numFmtId="165" formatCode="General"/>
    <numFmt numFmtId="166" formatCode="_-[$R$-416]\ * #,##0.00_-;\-[$R$-416]\ * #,##0.00_-;_-[$R$-416]\ * \-??_-;_-@_-"/>
    <numFmt numFmtId="167" formatCode="@"/>
    <numFmt numFmtId="168" formatCode="0.00"/>
    <numFmt numFmtId="169" formatCode="_-* #,##0.00_-;\-* #,##0.00_-;_-* \-??_-;_-@_-"/>
  </numFmts>
  <fonts count="3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4"/>
      <color theme="1"/>
      <name val="Aptos Narrow"/>
      <family val="2"/>
      <charset val="1"/>
    </font>
    <font>
      <sz val="11"/>
      <color theme="1"/>
      <name val="Aptos Narrow"/>
      <family val="2"/>
    </font>
    <font>
      <sz val="11"/>
      <color rgb="FF010101"/>
      <name val="CircularStd-Book"/>
      <family val="0"/>
      <charset val="1"/>
    </font>
    <font>
      <sz val="11"/>
      <color rgb="FF000000"/>
      <name val="Aptos Narrow"/>
      <family val="0"/>
      <charset val="1"/>
    </font>
    <font>
      <sz val="18"/>
      <color theme="4"/>
      <name val="Lato"/>
      <family val="2"/>
    </font>
    <font>
      <sz val="11"/>
      <color theme="1"/>
      <name val="Lato"/>
      <family val="2"/>
      <charset val="1"/>
    </font>
    <font>
      <sz val="11"/>
      <color theme="1"/>
      <name val="Lato"/>
      <family val="0"/>
      <charset val="1"/>
    </font>
    <font>
      <b val="true"/>
      <sz val="11"/>
      <color theme="1"/>
      <name val="Lato"/>
      <family val="0"/>
      <charset val="1"/>
    </font>
    <font>
      <b val="true"/>
      <sz val="14"/>
      <color theme="0"/>
      <name val="Lato"/>
      <family val="2"/>
    </font>
    <font>
      <sz val="11"/>
      <color theme="0"/>
      <name val="Lato"/>
      <family val="2"/>
    </font>
    <font>
      <b val="true"/>
      <sz val="16"/>
      <color theme="0"/>
      <name val="Lato"/>
      <family val="2"/>
      <charset val="1"/>
    </font>
    <font>
      <b val="true"/>
      <sz val="14"/>
      <color rgb="FFFF0000"/>
      <name val="Lato"/>
      <family val="2"/>
      <charset val="1"/>
    </font>
    <font>
      <b val="true"/>
      <sz val="18"/>
      <color theme="0"/>
      <name val="Lato"/>
      <family val="2"/>
      <charset val="1"/>
    </font>
    <font>
      <b val="true"/>
      <sz val="15"/>
      <color theme="4" tint="0.7999"/>
      <name val="Lato"/>
      <family val="2"/>
      <charset val="1"/>
    </font>
    <font>
      <b val="true"/>
      <sz val="14"/>
      <color theme="4" tint="0.7999"/>
      <name val="Lato"/>
      <family val="2"/>
      <charset val="1"/>
    </font>
    <font>
      <sz val="16"/>
      <color rgb="FFFF0000"/>
      <name val="Lato"/>
      <family val="2"/>
      <charset val="1"/>
    </font>
    <font>
      <b val="true"/>
      <sz val="16"/>
      <color rgb="FFFF0000"/>
      <name val="Lato"/>
      <family val="2"/>
      <charset val="1"/>
    </font>
    <font>
      <sz val="16"/>
      <color theme="0"/>
      <name val="Lato"/>
      <family val="2"/>
      <charset val="1"/>
    </font>
    <font>
      <sz val="14"/>
      <color theme="1"/>
      <name val="Lato"/>
      <family val="2"/>
      <charset val="1"/>
    </font>
    <font>
      <b val="true"/>
      <sz val="14"/>
      <color theme="1"/>
      <name val="Lato"/>
      <family val="2"/>
      <charset val="1"/>
    </font>
    <font>
      <b val="true"/>
      <sz val="11"/>
      <color theme="0"/>
      <name val="Lato"/>
      <family val="2"/>
      <charset val="1"/>
    </font>
    <font>
      <b val="true"/>
      <sz val="12"/>
      <color theme="1"/>
      <name val="Lato"/>
      <family val="2"/>
      <charset val="1"/>
    </font>
    <font>
      <b val="true"/>
      <sz val="20"/>
      <color theme="5" tint="0.6"/>
      <name val="Aptos Narrow"/>
      <family val="0"/>
    </font>
    <font>
      <b val="true"/>
      <sz val="20"/>
      <color theme="2"/>
      <name val="Aptos Narrow"/>
      <family val="0"/>
    </font>
    <font>
      <b val="true"/>
      <sz val="20"/>
      <color theme="4" tint="0.8"/>
      <name val="Lato"/>
      <family val="2"/>
    </font>
    <font>
      <b val="true"/>
      <sz val="20"/>
      <color theme="3" tint="0.9"/>
      <name val="Lato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rgb="FF3B7D23"/>
      </patternFill>
    </fill>
    <fill>
      <patternFill patternType="solid">
        <fgColor rgb="FF168253"/>
        <bgColor rgb="FF008080"/>
      </patternFill>
    </fill>
    <fill>
      <patternFill patternType="solid">
        <fgColor theme="5" tint="0.3999"/>
        <bgColor rgb="FFF6C7AD"/>
      </patternFill>
    </fill>
    <fill>
      <patternFill patternType="solid">
        <fgColor theme="9" tint="-0.25"/>
        <bgColor rgb="FF168253"/>
      </patternFill>
    </fill>
    <fill>
      <patternFill patternType="solid">
        <fgColor theme="0"/>
        <bgColor rgb="FFE8E8E8"/>
      </patternFill>
    </fill>
    <fill>
      <patternFill patternType="solid">
        <fgColor rgb="FFFFC000"/>
        <bgColor rgb="FFFF9900"/>
      </patternFill>
    </fill>
  </fills>
  <borders count="23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left" vertical="bottom" textRotation="0" wrapText="false" indent="0" shrinkToFit="false"/>
    </xf>
    <xf numFmtId="165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3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2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4" fillId="0" borderId="16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2" fillId="0" borderId="17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2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8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2" fillId="3" borderId="5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6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7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0" fillId="0" borderId="18" xfId="23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4" fillId="0" borderId="1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3" fillId="0" borderId="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13" fillId="0" borderId="21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9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5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nto da tabela dinâmica" xfId="20"/>
    <cellStyle name="Valor da tabela dinâmica" xfId="21"/>
    <cellStyle name="Campo da tabela dinâmica" xfId="22"/>
    <cellStyle name="Categoria da tabela dinâmica" xfId="23"/>
    <cellStyle name="Título da tabela dinâmica" xfId="24"/>
    <cellStyle name="Resultado da tabela dinâmica" xfId="25"/>
  </cellStyles>
  <dxfs count="4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>
      <border diagonalUp="false" diagonalDown="false">
        <left style="thin"/>
        <right style="thin"/>
        <top style="thin"/>
        <bottom style="thin"/>
        <diagonal/>
      </border>
    </dxf>
    <dxf/>
    <dxf/>
    <dxf/>
    <dxf>
      <font>
        <sz val="12"/>
      </font>
    </dxf>
    <dxf>
      <numFmt numFmtId="164" formatCode="&quot;R$ &quot;#,##0.00"/>
    </dxf>
    <dxf/>
    <dxf/>
    <dxf/>
    <dxf/>
    <dxf/>
    <dxf/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ont>
        <name val="Lato"/>
        <charset val="1"/>
        <family val="0"/>
      </font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7D23"/>
      <rgbColor rgb="FF000080"/>
      <rgbColor rgb="FF808000"/>
      <rgbColor rgb="FF800080"/>
      <rgbColor rgb="FF168253"/>
      <rgbColor rgb="FFC0C0C0"/>
      <rgbColor rgb="FF808080"/>
      <rgbColor rgb="FF9999FF"/>
      <rgbColor rgb="FF993366"/>
      <rgbColor rgb="FFE8E8E8"/>
      <rgbColor rgb="FFDCEAF7"/>
      <rgbColor rgb="FF660066"/>
      <rgbColor rgb="FFFF8080"/>
      <rgbColor rgb="FF145F82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B83"/>
      <rgbColor rgb="FFCC99FF"/>
      <rgbColor rgb="FFF6C7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4EA72E"/>
      <rgbColor rgb="FF01010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hyperlink" Target="#Menu!A1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hyperlink" Target="#Dinamica!A1"/><Relationship Id="rId3" Type="http://schemas.openxmlformats.org/officeDocument/2006/relationships/hyperlink" Target="#Dados!A1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617400</xdr:colOff>
      <xdr:row>2</xdr:row>
      <xdr:rowOff>129600</xdr:rowOff>
    </xdr:from>
    <xdr:to>
      <xdr:col>7</xdr:col>
      <xdr:colOff>716040</xdr:colOff>
      <xdr:row>4</xdr:row>
      <xdr:rowOff>174960</xdr:rowOff>
    </xdr:to>
    <xdr:sp>
      <xdr:nvSpPr>
        <xdr:cNvPr id="0" name="Retângulo: Cantos Arredondados 2"/>
        <xdr:cNvSpPr/>
      </xdr:nvSpPr>
      <xdr:spPr>
        <a:xfrm>
          <a:off x="5335560" y="443880"/>
          <a:ext cx="1171800" cy="554040"/>
        </a:xfrm>
        <a:prstGeom prst="roundRect">
          <a:avLst>
            <a:gd name="adj" fmla="val 16667"/>
          </a:avLst>
        </a:prstGeom>
        <a:solidFill>
          <a:srgbClr val="145f82"/>
        </a:solidFill>
        <a:ln w="19050">
          <a:solidFill>
            <a:srgbClr val="0e4660"/>
          </a:solidFill>
          <a:miter/>
        </a:ln>
        <a:effectLst>
          <a:glow rad="228600">
            <a:srgbClr val="cb00b4">
              <a:alpha val="40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0" lang="pt-BR" sz="1800" strike="noStrike" u="none">
              <a:solidFill>
                <a:schemeClr val="accent1"/>
              </a:solidFill>
              <a:effectLst/>
              <a:uFillTx/>
              <a:latin typeface="Lato"/>
              <a:ea typeface="Lato"/>
            </a:rPr>
            <a:t>Menu</a:t>
          </a:r>
          <a:endParaRPr b="0" lang="pt-BR" sz="18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0</xdr:colOff>
      <xdr:row>3</xdr:row>
      <xdr:rowOff>106560</xdr:rowOff>
    </xdr:from>
    <xdr:to>
      <xdr:col>14</xdr:col>
      <xdr:colOff>40320</xdr:colOff>
      <xdr:row>6</xdr:row>
      <xdr:rowOff>159480</xdr:rowOff>
    </xdr:to>
    <xdr:sp>
      <xdr:nvSpPr>
        <xdr:cNvPr id="1" name="Retângulo: Cantos Arredondados 11">
          <a:hlinkClick r:id="rId1"/>
        </xdr:cNvPr>
        <xdr:cNvSpPr/>
      </xdr:nvSpPr>
      <xdr:spPr>
        <a:xfrm>
          <a:off x="9911160" y="632520"/>
          <a:ext cx="1303920" cy="578520"/>
        </a:xfrm>
        <a:prstGeom prst="roundRect">
          <a:avLst>
            <a:gd name="adj" fmla="val 16667"/>
          </a:avLst>
        </a:prstGeom>
        <a:solidFill>
          <a:srgbClr val="145f82"/>
        </a:solidFill>
        <a:ln w="19050">
          <a:solidFill>
            <a:srgbClr val="0e4660"/>
          </a:solidFill>
          <a:miter/>
        </a:ln>
        <a:effectLst>
          <a:glow rad="101520">
            <a:srgbClr val="cb00b4">
              <a:alpha val="40000"/>
            </a:srgbClr>
          </a:glo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b">
          <a:noAutofit/>
        </a:bodyPr>
        <a:p>
          <a:pPr algn="ctr">
            <a:lnSpc>
              <a:spcPct val="100000"/>
            </a:lnSpc>
          </a:pPr>
          <a:r>
            <a:rPr b="1" lang="pt-BR" sz="1400" strike="noStrike" u="none">
              <a:solidFill>
                <a:schemeClr val="lt1"/>
              </a:solidFill>
              <a:effectLst/>
              <a:uFillTx/>
              <a:latin typeface="Lato"/>
              <a:ea typeface="Lato"/>
            </a:rPr>
            <a:t>Menu</a:t>
          </a:r>
          <a:endParaRPr b="0" lang="pt-BR" sz="1400" strike="noStrike" u="none">
            <a:effectLst/>
            <a:uFillTx/>
            <a:latin typeface="Times New Roman"/>
          </a:endParaRPr>
        </a:p>
        <a:p>
          <a:pPr algn="ctr">
            <a:lnSpc>
              <a:spcPct val="100000"/>
            </a:lnSpc>
          </a:pPr>
          <a:endParaRPr b="0" lang="pt-BR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251640</xdr:colOff>
      <xdr:row>6</xdr:row>
      <xdr:rowOff>228600</xdr:rowOff>
    </xdr:from>
    <xdr:to>
      <xdr:col>6</xdr:col>
      <xdr:colOff>236160</xdr:colOff>
      <xdr:row>31</xdr:row>
      <xdr:rowOff>22680</xdr:rowOff>
    </xdr:to>
    <xdr:pic>
      <xdr:nvPicPr>
        <xdr:cNvPr id="2" name="Imagem 7" descr=""/>
        <xdr:cNvPicPr/>
      </xdr:nvPicPr>
      <xdr:blipFill>
        <a:blip r:embed="rId1">
          <a:alphaModFix amt="20000"/>
        </a:blip>
        <a:stretch/>
      </xdr:blipFill>
      <xdr:spPr>
        <a:xfrm>
          <a:off x="251640" y="1749600"/>
          <a:ext cx="6220080" cy="4891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twoCell">
    <xdr:from>
      <xdr:col>1</xdr:col>
      <xdr:colOff>457200</xdr:colOff>
      <xdr:row>6</xdr:row>
      <xdr:rowOff>76320</xdr:rowOff>
    </xdr:from>
    <xdr:to>
      <xdr:col>2</xdr:col>
      <xdr:colOff>700560</xdr:colOff>
      <xdr:row>10</xdr:row>
      <xdr:rowOff>7560</xdr:rowOff>
    </xdr:to>
    <xdr:sp>
      <xdr:nvSpPr>
        <xdr:cNvPr id="3" name="Retângulo: Cantos Arredondados 1">
          <a:hlinkClick r:id="rId2"/>
        </xdr:cNvPr>
        <xdr:cNvSpPr/>
      </xdr:nvSpPr>
      <xdr:spPr>
        <a:xfrm>
          <a:off x="1003320" y="1597320"/>
          <a:ext cx="1798920" cy="1080360"/>
        </a:xfrm>
        <a:prstGeom prst="roundRect">
          <a:avLst>
            <a:gd name="adj" fmla="val 16667"/>
          </a:avLst>
        </a:prstGeom>
        <a:solidFill>
          <a:srgbClr val="145f82"/>
        </a:solidFill>
        <a:ln w="19050">
          <a:solidFill>
            <a:srgbClr val="0e4660"/>
          </a:solidFill>
          <a:miter/>
        </a:ln>
        <a:effectLst>
          <a:innerShdw blurRad="114300">
            <a:srgbClr val="000000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2000" spc="51" strike="noStrike" u="none">
              <a:solidFill>
                <a:schemeClr val="accent2">
                  <a:lumMod val="40000"/>
                  <a:lumOff val="60000"/>
                </a:schemeClr>
              </a:solidFill>
              <a:effectLst/>
              <a:uFillTx/>
              <a:latin typeface="Aptos Narrow"/>
            </a:rPr>
            <a:t>Depesas</a:t>
          </a:r>
          <a:r>
            <a:rPr b="1" lang="pt-BR" sz="2000" spc="51" strike="noStrike" u="none">
              <a:solidFill>
                <a:schemeClr val="lt2"/>
              </a:solidFill>
              <a:effectLst/>
              <a:uFillTx/>
              <a:latin typeface="Aptos Narrow"/>
            </a:rPr>
            <a:t> </a:t>
          </a:r>
          <a:r>
            <a:rPr b="1" lang="pt-BR" sz="2000" spc="51" strike="noStrike" u="none">
              <a:solidFill>
                <a:schemeClr val="accent1">
                  <a:lumMod val="20000"/>
                  <a:lumOff val="80000"/>
                </a:schemeClr>
              </a:solidFill>
              <a:effectLst/>
              <a:uFillTx/>
              <a:latin typeface="Lato"/>
              <a:ea typeface="Lato"/>
            </a:rPr>
            <a:t>Mensais</a:t>
          </a:r>
          <a:endParaRPr b="0" lang="pt-BR" sz="20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2</xdr:col>
      <xdr:colOff>853560</xdr:colOff>
      <xdr:row>6</xdr:row>
      <xdr:rowOff>76320</xdr:rowOff>
    </xdr:from>
    <xdr:to>
      <xdr:col>4</xdr:col>
      <xdr:colOff>898920</xdr:colOff>
      <xdr:row>10</xdr:row>
      <xdr:rowOff>7560</xdr:rowOff>
    </xdr:to>
    <xdr:sp>
      <xdr:nvSpPr>
        <xdr:cNvPr id="4" name="Retângulo: Cantos Arredondados 2">
          <a:hlinkClick r:id="rId3"/>
        </xdr:cNvPr>
        <xdr:cNvSpPr/>
      </xdr:nvSpPr>
      <xdr:spPr>
        <a:xfrm>
          <a:off x="2955240" y="1597320"/>
          <a:ext cx="1823400" cy="1080360"/>
        </a:xfrm>
        <a:prstGeom prst="roundRect">
          <a:avLst>
            <a:gd name="adj" fmla="val 16667"/>
          </a:avLst>
        </a:prstGeom>
        <a:solidFill>
          <a:srgbClr val="145f82"/>
        </a:solidFill>
        <a:ln w="19050">
          <a:solidFill>
            <a:srgbClr val="0e4660"/>
          </a:solidFill>
          <a:miter/>
        </a:ln>
        <a:effectLst>
          <a:innerShdw blurRad="114300">
            <a:srgbClr val="000000"/>
          </a:inn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  <xdr:txBody>
        <a:bodyPr horzOverflow="clip" vertOverflow="clip" lIns="90000" rIns="90000" tIns="45000" bIns="45000" anchor="ctr">
          <a:noAutofit/>
        </a:bodyPr>
        <a:p>
          <a:pPr algn="ctr">
            <a:lnSpc>
              <a:spcPct val="100000"/>
            </a:lnSpc>
          </a:pPr>
          <a:r>
            <a:rPr b="1" lang="pt-BR" sz="2000" strike="noStrike" u="none">
              <a:solidFill>
                <a:schemeClr val="dk2">
                  <a:lumMod val="10000"/>
                  <a:lumOff val="90000"/>
                </a:schemeClr>
              </a:solidFill>
              <a:effectLst/>
              <a:uFillTx/>
              <a:latin typeface="Lato"/>
              <a:ea typeface="Lato"/>
            </a:rPr>
            <a:t>Dados</a:t>
          </a:r>
          <a:endParaRPr b="0" lang="pt-BR" sz="20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5" createdVersion="3">
  <cacheSource type="worksheet">
    <worksheetSource ref="B3:E38" sheet="Dados"/>
  </cacheSource>
  <cacheFields count="4">
    <cacheField name="Despesa" numFmtId="0">
      <sharedItems count="7">
        <s v="Ap"/>
        <s v="Casa"/>
        <s v="Fmu"/>
        <s v="Irmão"/>
        <s v="Outros"/>
        <s v="SeguroAp"/>
        <s v="Vivo"/>
      </sharedItems>
    </cacheField>
    <cacheField name="Felipe" numFmtId="0">
      <sharedItems containsString="0" containsBlank="1" containsNumber="1" containsInteger="1" minValue="55" maxValue="400" count="6">
        <n v="55"/>
        <n v="100"/>
        <n v="200"/>
        <n v="310"/>
        <n v="400"/>
        <m/>
      </sharedItems>
    </cacheField>
    <cacheField name="Thalya" numFmtId="0">
      <sharedItems containsString="0" containsBlank="1" containsNumber="1" minValue="30" maxValue="400" count="9">
        <n v="30"/>
        <n v="43"/>
        <n v="93.88"/>
        <n v="150"/>
        <n v="200"/>
        <n v="250"/>
        <n v="380"/>
        <n v="400"/>
        <m/>
      </sharedItems>
    </cacheField>
    <cacheField name="Mês" numFmtId="0">
      <sharedItems count="5">
        <s v="Agosto"/>
        <s v="Dezembro"/>
        <s v="Novembro"/>
        <s v="Outubro"/>
        <s v="Setembro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x v="0"/>
    <x v="4"/>
    <x v="7"/>
    <x v="0"/>
  </r>
  <r>
    <x v="1"/>
    <x v="2"/>
    <x v="4"/>
    <x v="0"/>
  </r>
  <r>
    <x v="5"/>
    <x v="2"/>
    <x v="5"/>
    <x v="0"/>
  </r>
  <r>
    <x v="6"/>
    <x v="0"/>
    <x v="1"/>
    <x v="0"/>
  </r>
  <r>
    <x v="2"/>
    <x v="3"/>
    <x v="8"/>
    <x v="0"/>
  </r>
  <r>
    <x v="4"/>
    <x v="5"/>
    <x v="6"/>
    <x v="0"/>
  </r>
  <r>
    <x v="3"/>
    <x v="1"/>
    <x v="8"/>
    <x v="0"/>
  </r>
  <r>
    <x v="0"/>
    <x v="4"/>
    <x v="7"/>
    <x v="4"/>
  </r>
  <r>
    <x v="1"/>
    <x v="2"/>
    <x v="4"/>
    <x v="4"/>
  </r>
  <r>
    <x v="5"/>
    <x v="2"/>
    <x v="4"/>
    <x v="4"/>
  </r>
  <r>
    <x v="6"/>
    <x v="0"/>
    <x v="1"/>
    <x v="4"/>
  </r>
  <r>
    <x v="2"/>
    <x v="3"/>
    <x v="8"/>
    <x v="4"/>
  </r>
  <r>
    <x v="4"/>
    <x v="5"/>
    <x v="4"/>
    <x v="4"/>
  </r>
  <r>
    <x v="3"/>
    <x v="1"/>
    <x v="8"/>
    <x v="4"/>
  </r>
  <r>
    <x v="0"/>
    <x v="4"/>
    <x v="7"/>
    <x v="3"/>
  </r>
  <r>
    <x v="1"/>
    <x v="2"/>
    <x v="4"/>
    <x v="3"/>
  </r>
  <r>
    <x v="5"/>
    <x v="2"/>
    <x v="4"/>
    <x v="3"/>
  </r>
  <r>
    <x v="6"/>
    <x v="0"/>
    <x v="1"/>
    <x v="3"/>
  </r>
  <r>
    <x v="2"/>
    <x v="3"/>
    <x v="8"/>
    <x v="3"/>
  </r>
  <r>
    <x v="4"/>
    <x v="5"/>
    <x v="3"/>
    <x v="3"/>
  </r>
  <r>
    <x v="3"/>
    <x v="1"/>
    <x v="8"/>
    <x v="3"/>
  </r>
  <r>
    <x v="0"/>
    <x v="4"/>
    <x v="7"/>
    <x v="2"/>
  </r>
  <r>
    <x v="1"/>
    <x v="2"/>
    <x v="4"/>
    <x v="2"/>
  </r>
  <r>
    <x v="5"/>
    <x v="2"/>
    <x v="4"/>
    <x v="2"/>
  </r>
  <r>
    <x v="6"/>
    <x v="0"/>
    <x v="1"/>
    <x v="2"/>
  </r>
  <r>
    <x v="2"/>
    <x v="3"/>
    <x v="8"/>
    <x v="2"/>
  </r>
  <r>
    <x v="4"/>
    <x v="5"/>
    <x v="0"/>
    <x v="2"/>
  </r>
  <r>
    <x v="3"/>
    <x v="1"/>
    <x v="8"/>
    <x v="2"/>
  </r>
  <r>
    <x v="0"/>
    <x v="4"/>
    <x v="7"/>
    <x v="1"/>
  </r>
  <r>
    <x v="1"/>
    <x v="2"/>
    <x v="4"/>
    <x v="1"/>
  </r>
  <r>
    <x v="5"/>
    <x v="2"/>
    <x v="4"/>
    <x v="1"/>
  </r>
  <r>
    <x v="6"/>
    <x v="0"/>
    <x v="1"/>
    <x v="1"/>
  </r>
  <r>
    <x v="2"/>
    <x v="3"/>
    <x v="8"/>
    <x v="1"/>
  </r>
  <r>
    <x v="4"/>
    <x v="5"/>
    <x v="2"/>
    <x v="1"/>
  </r>
  <r>
    <x v="3"/>
    <x v="1"/>
    <x v="8"/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4:J22" firstHeaderRow="1" firstDataRow="2" firstDataCol="1"/>
  <pivotFields count="4">
    <pivotField axis="axisCol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axis="axisRow" showAll="0">
      <items count="6">
        <item x="0"/>
        <item x="4"/>
        <item x="3"/>
        <item x="2"/>
        <item x="1"/>
        <item t="default"/>
      </items>
    </pivotField>
  </pivotFields>
  <rowFields count="2">
    <field x="3"/>
    <field x="-2"/>
  </rowFields>
  <rowItems count="17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 v="16"/>
    </i>
  </rowItems>
  <colFields count="1">
    <field x="0"/>
  </colFields>
  <colItems count="8">
    <i>
      <x v="0"/>
    </i>
    <i>
      <x v="1"/>
    </i>
    <i>
      <x v="2"/>
    </i>
    <i>
      <x v="3"/>
    </i>
    <i>
      <x v="4"/>
    </i>
    <i>
      <x v="5"/>
    </i>
    <i>
      <x v="6"/>
    </i>
    <i t="grand">
      <x v="7"/>
    </i>
  </colItems>
  <dataFields count="2">
    <dataField name=" Felipe" fld="1" subtotal="sum" numFmtId="166"/>
    <dataField name=" Thalya" fld="2" subtotal="sum" numFmtId="166"/>
  </dataFields>
  <formats count="44">
    <format dxfId="2">
      <pivotArea dataOnly="0" outline="0" fieldPosition="0"/>
    </format>
    <format dxfId="3">
      <pivotArea outline="0" fieldPosition="0"/>
    </format>
    <format dxfId="4">
      <pivotArea dataOnly="0" labelOnly="1" outline="0" fieldPosition="0"/>
    </format>
    <format dxfId="5">
      <pivotArea dataOnly="0" labelOnly="1" outline="0" fieldPosition="0"/>
    </format>
    <format dxfId="6">
      <pivotArea dataOnly="0" labelOnly="1" outline="0" fieldPosition="0"/>
    </format>
    <format dxfId="7">
      <pivotArea dataOnly="0" labelOnly="1" outline="0" fieldPosition="1"/>
    </format>
    <format dxfId="8">
      <pivotArea dataOnly="0" labelOnly="1" fieldPosition="0">
        <references count="1">
          <reference field="3" count="1"/>
        </references>
      </pivotArea>
    </format>
    <format dxfId="9">
      <pivotArea dataOnly="0" labelOnly="1" outline="0" fieldPosition="0"/>
    </format>
    <format dxfId="10">
      <pivotArea dataOnly="0" labelOnly="1" fieldPosition="0">
        <references count="1">
          <reference field="3" count="1">
            <x v="0"/>
          </reference>
        </references>
      </pivotArea>
    </format>
    <format dxfId="11">
      <pivotArea dataOnly="0" labelOnly="1" fieldPosition="0">
        <references count="1">
          <reference field="3" count="1">
            <x v="1"/>
          </reference>
        </references>
      </pivotArea>
    </format>
    <format dxfId="12">
      <pivotArea dataOnly="0" labelOnly="1" outline="0" fieldPosition="0"/>
    </format>
    <format dxfId="13">
      <pivotArea dataOnly="0" labelOnly="1" outline="0" fieldPosition="0"/>
    </format>
    <format dxfId="14">
      <pivotArea outline="0" fieldPosition="0"/>
    </format>
    <format dxfId="15">
      <pivotArea dataOnly="0" labelOnly="1" fieldPosition="0">
        <references count="1">
          <reference field="0" count="1"/>
        </references>
      </pivotArea>
    </format>
    <format dxfId="16">
      <pivotArea dataOnly="0" labelOnly="1" outline="0" fieldPosition="0"/>
    </format>
    <format dxfId="17">
      <pivotArea dataOnly="0" labelOnly="1" fieldPosition="0">
        <references count="1">
          <reference field="0" count="1"/>
        </references>
      </pivotArea>
    </format>
    <format dxfId="18">
      <pivotArea dataOnly="0" labelOnly="1" outline="0" fieldPosition="0"/>
    </format>
    <format dxfId="19">
      <pivotArea dataOnly="0" labelOnly="1" outline="0" fieldPosition="0"/>
    </format>
    <format dxfId="20">
      <pivotArea dataOnly="0" labelOnly="1" outline="0" fieldPosition="0"/>
    </format>
    <format dxfId="21">
      <pivotArea dataOnly="0" outline="0" fieldPosition="0"/>
    </format>
    <format dxfId="22">
      <pivotArea outline="0" fieldPosition="0"/>
    </format>
    <format dxfId="23">
      <pivotArea dataOnly="0" labelOnly="1" outline="0" fieldPosition="0"/>
    </format>
    <format dxfId="24">
      <pivotArea dataOnly="0" labelOnly="1" outline="0" fieldPosition="0"/>
    </format>
    <format dxfId="25">
      <pivotArea dataOnly="0" labelOnly="1" outline="0" fieldPosition="0"/>
    </format>
    <format dxfId="26">
      <pivotArea dataOnly="0" labelOnly="1" outline="0" fieldPosition="0"/>
    </format>
    <format dxfId="27">
      <pivotArea dataOnly="0" labelOnly="1" fieldPosition="0">
        <references count="1">
          <reference field="3" count="1"/>
        </references>
      </pivotArea>
    </format>
    <format dxfId="28">
      <pivotArea dataOnly="0" labelOnly="1" outline="0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outline="0" fieldPosition="0">
        <references count="1">
          <reference field="4294967294" count="1" selected="0">
            <x v="1"/>
          </reference>
        </references>
      </pivotArea>
    </format>
    <format dxfId="30">
      <pivotArea dataOnly="0" labelOnly="1" outline="0" fieldPosition="0">
        <references count="2">
          <reference field="4294967294" count="1">
            <x v="0"/>
            <x v="1"/>
          </reference>
          <reference field="3" count="1" selected="0">
            <x v="0"/>
          </reference>
        </references>
      </pivotArea>
    </format>
    <format dxfId="31">
      <pivotArea dataOnly="0" labelOnly="1" outline="0" fieldPosition="0">
        <references count="2">
          <reference field="4294967294" count="1">
            <x v="0"/>
            <x v="1"/>
          </reference>
          <reference field="3" count="1" selected="0">
            <x v="1"/>
          </reference>
        </references>
      </pivotArea>
    </format>
    <format dxfId="32">
      <pivotArea dataOnly="0" labelOnly="1" fieldPosition="0">
        <references count="1">
          <reference field="0" count="1"/>
        </references>
      </pivotArea>
    </format>
    <format dxfId="33">
      <pivotArea dataOnly="0" labelOnly="1" outline="0" fieldPosition="0"/>
    </format>
    <format dxfId="34">
      <pivotArea fieldPosition="0">
        <references count="3">
          <reference field="4294967294" count="1">
            <x v="0"/>
            <x v="1"/>
          </reference>
          <reference field="0" count="1" selected="0">
            <x v="5"/>
          </reference>
          <reference field="3" count="1" selected="0">
            <x v="0"/>
          </reference>
        </references>
      </pivotArea>
    </format>
    <format dxfId="35">
      <pivotArea fieldPosition="0">
        <references count="3">
          <reference field="4294967294" count="1">
            <x v="0"/>
          </reference>
          <reference field="0" count="1" selected="0">
            <x v="3"/>
          </reference>
          <reference field="3" count="1" selected="0">
            <x v="0"/>
          </reference>
        </references>
      </pivotArea>
    </format>
    <format dxfId="36">
      <pivotArea fieldPosition="0">
        <references count="3">
          <reference field="4294967294" count="1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37">
      <pivotArea fieldPosition="0">
        <references count="3">
          <reference field="4294967294" count="1">
            <x v="1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38">
      <pivotArea fieldPosition="0">
        <references count="3">
          <reference field="4294967294" count="1">
            <x v="1"/>
          </reference>
          <reference field="0" count="1" selected="0">
            <x v="1"/>
          </reference>
          <reference field="3" count="1" selected="0">
            <x v="0"/>
          </reference>
        </references>
      </pivotArea>
    </format>
    <format dxfId="39">
      <pivotArea fieldPosition="0">
        <references count="3">
          <reference field="4294967294" count="1">
            <x v="1"/>
          </reference>
          <reference field="0" count="1" selected="0">
            <x v="4"/>
          </reference>
          <reference field="3" count="1" selected="0">
            <x v="0"/>
          </reference>
        </references>
      </pivotArea>
    </format>
    <format dxfId="40">
      <pivotArea fieldPosition="0">
        <references count="3">
          <reference field="4294967294" count="1">
            <x v="1"/>
          </reference>
          <reference field="0" count="1" selected="0">
            <x v="6"/>
          </reference>
          <reference field="3" count="1" selected="0">
            <x v="0"/>
          </reference>
        </references>
      </pivotArea>
    </format>
    <format dxfId="41">
      <pivotArea fieldPosition="0">
        <references count="2">
          <reference field="4294967294" count="1">
            <x v="1"/>
          </reference>
          <reference field="3" count="1" selected="0">
            <x v="0"/>
          </reference>
        </references>
      </pivotArea>
    </format>
    <format dxfId="42">
      <pivotArea fieldPosition="0">
        <references count="3">
          <reference field="4294967294" count="1">
            <x v="0"/>
          </reference>
          <reference field="0" count="1" selected="0">
            <x v="1"/>
          </reference>
          <reference field="3" count="1" selected="0">
            <x v="0"/>
          </reference>
        </references>
      </pivotArea>
    </format>
    <format dxfId="43">
      <pivotArea fieldPosition="0">
        <references count="3">
          <reference field="4294967294" count="1">
            <x v="0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44">
      <pivotArea fieldPosition="0">
        <references count="3">
          <reference field="4294967294" count="1">
            <x v="1"/>
          </reference>
          <reference field="0" count="1" selected="0">
            <x v="0"/>
          </reference>
          <reference field="3" count="1" selected="0">
            <x v="0"/>
          </reference>
        </references>
      </pivotArea>
    </format>
    <format dxfId="45">
      <pivotArea fieldPosition="0">
        <references count="3">
          <reference field="4294967294" count="1">
            <x v="0"/>
          </reference>
          <reference field="0" count="1" selected="0">
            <x v="2"/>
          </reference>
          <reference field="3" count="1" selected="0">
            <x v="0"/>
          </reference>
        </references>
      </pivotArea>
    </format>
  </formats>
  <pivotTableStyleInfo name="PivotStyleMedium9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Despesa" displayName="TabDespesa" ref="B3:E38" headerRowCount="1" totalsRowCount="0" totalsRowShown="0">
  <autoFilter ref="B3:E38">
    <filterColumn colId="0" hiddenButton="1"/>
    <filterColumn colId="1" hiddenButton="1"/>
    <filterColumn colId="2" hiddenButton="1"/>
    <filterColumn colId="3" hiddenButton="1"/>
  </autoFilter>
  <tableColumns count="4">
    <tableColumn id="1" name="Despesa"/>
    <tableColumn id="2" name="Felipe" totalsRowFunction="sum"/>
    <tableColumn id="3" name="Thalya" totalsRowFunction="sum"/>
    <tableColumn id="4" name="Mês"/>
  </tableColumns>
</table>
</file>

<file path=xl/tables/table2.xml><?xml version="1.0" encoding="utf-8"?>
<table xmlns="http://schemas.openxmlformats.org/spreadsheetml/2006/main" id="2" name="Tabela2" displayName="Tabela2" ref="H18:J19" headerRowCount="1" totalsRowCount="0" totalsRowShown="0">
  <autoFilter ref="H18:J19">
    <filterColumn colId="0" hiddenButton="1"/>
    <filterColumn colId="1" hiddenButton="1"/>
    <filterColumn colId="2" hiddenButton="1"/>
  </autoFilter>
  <tableColumns count="3">
    <tableColumn id="1" name="Felipe"/>
    <tableColumn id="2" name="Thalya"/>
    <tableColumn id="3" name="Total"/>
  </tableColumns>
</table>
</file>

<file path=xl/tables/table3.xml><?xml version="1.0" encoding="utf-8"?>
<table xmlns="http://schemas.openxmlformats.org/spreadsheetml/2006/main" id="3" name="Tabela3" displayName="Tabela3" ref="H14:J15" headerRowCount="1" totalsRowCount="0" totalsRowShown="0">
  <autoFilter ref="H14:J15">
    <filterColumn colId="0" hiddenButton="1"/>
    <filterColumn colId="1" hiddenButton="1"/>
    <filterColumn colId="2" hiddenButton="1"/>
  </autoFilter>
  <tableColumns count="3">
    <tableColumn id="1" name="Felipe"/>
    <tableColumn id="2" name="Thalya"/>
    <tableColumn id="3" name="tot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E38" activeCellId="0" sqref="E38"/>
    </sheetView>
  </sheetViews>
  <sheetFormatPr defaultColWidth="8.6015625" defaultRowHeight="13.5" customHeight="true" zeroHeight="false" outlineLevelRow="0" outlineLevelCol="0"/>
  <cols>
    <col collapsed="false" customWidth="true" hidden="false" outlineLevel="0" max="2" min="2" style="0" width="11.2"/>
    <col collapsed="false" customWidth="true" hidden="false" outlineLevel="0" max="5" min="3" style="0" width="15.3"/>
    <col collapsed="false" customWidth="true" hidden="false" outlineLevel="0" max="7" min="7" style="0" width="16.9"/>
    <col collapsed="false" customWidth="true" hidden="false" outlineLevel="0" max="8" min="8" style="0" width="12"/>
    <col collapsed="false" customWidth="true" hidden="false" outlineLevel="0" max="9" min="9" style="0" width="16.6"/>
    <col collapsed="false" customWidth="true" hidden="false" outlineLevel="0" max="10" min="10" style="0" width="15.4"/>
    <col collapsed="false" customWidth="true" hidden="false" outlineLevel="0" max="11" min="11" style="0" width="18.4"/>
    <col collapsed="false" customWidth="true" hidden="false" outlineLevel="0" max="13" min="13" style="0" width="7.1"/>
  </cols>
  <sheetData>
    <row r="2" customFormat="false" ht="11.25" hidden="false" customHeight="true" outlineLevel="0" collapsed="false">
      <c r="B2" s="1"/>
      <c r="C2" s="1"/>
      <c r="D2" s="1"/>
      <c r="G2" s="2"/>
      <c r="H2" s="2"/>
      <c r="I2" s="2"/>
    </row>
    <row r="3" customFormat="false" ht="26.25" hidden="false" customHeight="true" outlineLevel="0" collapsed="false">
      <c r="B3" s="3" t="s">
        <v>0</v>
      </c>
      <c r="C3" s="4" t="s">
        <v>1</v>
      </c>
      <c r="D3" s="4" t="s">
        <v>2</v>
      </c>
      <c r="E3" s="5" t="s">
        <v>3</v>
      </c>
      <c r="G3" s="6"/>
      <c r="H3" s="6"/>
      <c r="I3" s="6"/>
    </row>
    <row r="4" customFormat="false" ht="13.8" hidden="false" customHeight="false" outlineLevel="0" collapsed="false">
      <c r="B4" s="7" t="s">
        <v>4</v>
      </c>
      <c r="C4" s="8" t="n">
        <v>400</v>
      </c>
      <c r="D4" s="8" t="n">
        <v>400</v>
      </c>
      <c r="E4" s="9" t="s">
        <v>5</v>
      </c>
      <c r="G4" s="10"/>
      <c r="H4" s="11"/>
      <c r="I4" s="11"/>
    </row>
    <row r="5" customFormat="false" ht="13.8" hidden="false" customHeight="false" outlineLevel="0" collapsed="false">
      <c r="B5" s="7" t="s">
        <v>6</v>
      </c>
      <c r="C5" s="8" t="n">
        <v>200</v>
      </c>
      <c r="D5" s="8" t="n">
        <v>200</v>
      </c>
      <c r="E5" s="9" t="s">
        <v>5</v>
      </c>
      <c r="G5" s="10"/>
      <c r="H5" s="11"/>
      <c r="I5" s="11"/>
    </row>
    <row r="6" customFormat="false" ht="13.8" hidden="false" customHeight="false" outlineLevel="0" collapsed="false">
      <c r="B6" s="7" t="s">
        <v>7</v>
      </c>
      <c r="C6" s="8" t="n">
        <v>200</v>
      </c>
      <c r="D6" s="8" t="n">
        <v>250</v>
      </c>
      <c r="E6" s="9" t="s">
        <v>5</v>
      </c>
      <c r="G6" s="10"/>
      <c r="H6" s="11"/>
      <c r="I6" s="11"/>
    </row>
    <row r="7" customFormat="false" ht="13.8" hidden="false" customHeight="false" outlineLevel="0" collapsed="false">
      <c r="B7" s="7" t="s">
        <v>8</v>
      </c>
      <c r="C7" s="12" t="n">
        <v>55</v>
      </c>
      <c r="D7" s="8" t="n">
        <v>43</v>
      </c>
      <c r="E7" s="9" t="s">
        <v>5</v>
      </c>
      <c r="G7" s="10"/>
      <c r="H7" s="11"/>
      <c r="I7" s="11"/>
    </row>
    <row r="8" customFormat="false" ht="13.8" hidden="false" customHeight="false" outlineLevel="0" collapsed="false">
      <c r="B8" s="7" t="s">
        <v>9</v>
      </c>
      <c r="C8" s="8" t="n">
        <v>310</v>
      </c>
      <c r="D8" s="8"/>
      <c r="E8" s="9" t="s">
        <v>5</v>
      </c>
      <c r="G8" s="10"/>
      <c r="H8" s="11"/>
      <c r="I8" s="11"/>
    </row>
    <row r="9" customFormat="false" ht="13.8" hidden="false" customHeight="false" outlineLevel="0" collapsed="false">
      <c r="B9" s="7" t="s">
        <v>10</v>
      </c>
      <c r="C9" s="8"/>
      <c r="D9" s="8" t="n">
        <v>380</v>
      </c>
      <c r="E9" s="9" t="s">
        <v>5</v>
      </c>
      <c r="G9" s="10"/>
      <c r="H9" s="11"/>
      <c r="I9" s="11"/>
    </row>
    <row r="10" customFormat="false" ht="13.8" hidden="false" customHeight="false" outlineLevel="0" collapsed="false">
      <c r="B10" s="7" t="s">
        <v>11</v>
      </c>
      <c r="C10" s="8" t="n">
        <v>100</v>
      </c>
      <c r="D10" s="8"/>
      <c r="E10" s="9" t="s">
        <v>5</v>
      </c>
      <c r="G10" s="10"/>
      <c r="H10" s="11"/>
      <c r="I10" s="11"/>
    </row>
    <row r="11" customFormat="false" ht="13.8" hidden="false" customHeight="false" outlineLevel="0" collapsed="false">
      <c r="B11" s="7" t="s">
        <v>4</v>
      </c>
      <c r="C11" s="8" t="n">
        <v>400</v>
      </c>
      <c r="D11" s="8" t="n">
        <v>400</v>
      </c>
      <c r="E11" s="9" t="s">
        <v>12</v>
      </c>
    </row>
    <row r="12" customFormat="false" ht="13.8" hidden="false" customHeight="false" outlineLevel="0" collapsed="false">
      <c r="B12" s="7" t="s">
        <v>6</v>
      </c>
      <c r="C12" s="8" t="n">
        <v>200</v>
      </c>
      <c r="D12" s="8" t="n">
        <v>200</v>
      </c>
      <c r="E12" s="9" t="s">
        <v>12</v>
      </c>
      <c r="H12" s="13"/>
    </row>
    <row r="13" customFormat="false" ht="13.8" hidden="false" customHeight="false" outlineLevel="0" collapsed="false">
      <c r="B13" s="7" t="s">
        <v>7</v>
      </c>
      <c r="C13" s="8" t="n">
        <v>200</v>
      </c>
      <c r="D13" s="8" t="n">
        <v>200</v>
      </c>
      <c r="E13" s="9" t="s">
        <v>12</v>
      </c>
      <c r="H13" s="13"/>
    </row>
    <row r="14" customFormat="false" ht="13.8" hidden="false" customHeight="false" outlineLevel="0" collapsed="false">
      <c r="B14" s="7" t="s">
        <v>8</v>
      </c>
      <c r="C14" s="8" t="n">
        <v>55</v>
      </c>
      <c r="D14" s="8" t="n">
        <v>43</v>
      </c>
      <c r="E14" s="9" t="s">
        <v>12</v>
      </c>
    </row>
    <row r="15" customFormat="false" ht="13.8" hidden="false" customHeight="false" outlineLevel="0" collapsed="false">
      <c r="B15" s="7" t="s">
        <v>9</v>
      </c>
      <c r="C15" s="14" t="n">
        <v>310</v>
      </c>
      <c r="D15" s="8"/>
      <c r="E15" s="9" t="s">
        <v>12</v>
      </c>
      <c r="G15" s="15"/>
    </row>
    <row r="16" customFormat="false" ht="13.8" hidden="false" customHeight="false" outlineLevel="0" collapsed="false">
      <c r="B16" s="7" t="s">
        <v>10</v>
      </c>
      <c r="C16" s="8"/>
      <c r="D16" s="8" t="n">
        <v>200</v>
      </c>
      <c r="E16" s="9" t="s">
        <v>12</v>
      </c>
    </row>
    <row r="17" customFormat="false" ht="13.8" hidden="false" customHeight="false" outlineLevel="0" collapsed="false">
      <c r="B17" s="16" t="s">
        <v>11</v>
      </c>
      <c r="C17" s="17" t="n">
        <v>100</v>
      </c>
      <c r="D17" s="17"/>
      <c r="E17" s="18" t="s">
        <v>12</v>
      </c>
    </row>
    <row r="18" customFormat="false" ht="13.8" hidden="false" customHeight="false" outlineLevel="0" collapsed="false">
      <c r="B18" s="7" t="s">
        <v>4</v>
      </c>
      <c r="C18" s="8" t="n">
        <v>400</v>
      </c>
      <c r="D18" s="8" t="n">
        <v>400</v>
      </c>
      <c r="E18" s="9" t="s">
        <v>13</v>
      </c>
    </row>
    <row r="19" customFormat="false" ht="13.8" hidden="false" customHeight="false" outlineLevel="0" collapsed="false">
      <c r="B19" s="7" t="s">
        <v>6</v>
      </c>
      <c r="C19" s="8" t="n">
        <v>200</v>
      </c>
      <c r="D19" s="8" t="n">
        <v>200</v>
      </c>
      <c r="E19" s="9" t="s">
        <v>13</v>
      </c>
      <c r="K19" s="19"/>
    </row>
    <row r="20" customFormat="false" ht="13.8" hidden="false" customHeight="false" outlineLevel="0" collapsed="false">
      <c r="B20" s="7" t="s">
        <v>7</v>
      </c>
      <c r="C20" s="8" t="n">
        <v>200</v>
      </c>
      <c r="D20" s="8" t="n">
        <v>200</v>
      </c>
      <c r="E20" s="9" t="s">
        <v>13</v>
      </c>
      <c r="H20" s="20"/>
    </row>
    <row r="21" customFormat="false" ht="13.8" hidden="false" customHeight="false" outlineLevel="0" collapsed="false">
      <c r="B21" s="7" t="s">
        <v>8</v>
      </c>
      <c r="C21" s="8" t="n">
        <v>55</v>
      </c>
      <c r="D21" s="8" t="n">
        <v>43</v>
      </c>
      <c r="E21" s="9" t="s">
        <v>13</v>
      </c>
    </row>
    <row r="22" customFormat="false" ht="13.8" hidden="false" customHeight="false" outlineLevel="0" collapsed="false">
      <c r="B22" s="7" t="s">
        <v>9</v>
      </c>
      <c r="C22" s="14" t="n">
        <v>310</v>
      </c>
      <c r="D22" s="8"/>
      <c r="E22" s="9" t="s">
        <v>13</v>
      </c>
    </row>
    <row r="23" customFormat="false" ht="13.8" hidden="false" customHeight="false" outlineLevel="0" collapsed="false">
      <c r="B23" s="7" t="s">
        <v>10</v>
      </c>
      <c r="C23" s="8"/>
      <c r="D23" s="8" t="n">
        <v>150</v>
      </c>
      <c r="E23" s="9" t="s">
        <v>13</v>
      </c>
    </row>
    <row r="24" customFormat="false" ht="13.8" hidden="false" customHeight="false" outlineLevel="0" collapsed="false">
      <c r="B24" s="16" t="s">
        <v>11</v>
      </c>
      <c r="C24" s="17" t="n">
        <v>100</v>
      </c>
      <c r="D24" s="17"/>
      <c r="E24" s="18" t="s">
        <v>13</v>
      </c>
    </row>
    <row r="25" customFormat="false" ht="13.8" hidden="false" customHeight="false" outlineLevel="0" collapsed="false">
      <c r="B25" s="7" t="s">
        <v>4</v>
      </c>
      <c r="C25" s="8" t="n">
        <v>400</v>
      </c>
      <c r="D25" s="8" t="n">
        <v>400</v>
      </c>
      <c r="E25" s="9" t="s">
        <v>14</v>
      </c>
    </row>
    <row r="26" customFormat="false" ht="13.8" hidden="false" customHeight="false" outlineLevel="0" collapsed="false">
      <c r="B26" s="7" t="s">
        <v>6</v>
      </c>
      <c r="C26" s="8" t="n">
        <v>200</v>
      </c>
      <c r="D26" s="8" t="n">
        <v>200</v>
      </c>
      <c r="E26" s="9" t="s">
        <v>14</v>
      </c>
    </row>
    <row r="27" customFormat="false" ht="13.8" hidden="false" customHeight="false" outlineLevel="0" collapsed="false">
      <c r="B27" s="7" t="s">
        <v>7</v>
      </c>
      <c r="C27" s="8" t="n">
        <v>200</v>
      </c>
      <c r="D27" s="8" t="n">
        <v>200</v>
      </c>
      <c r="E27" s="9" t="s">
        <v>14</v>
      </c>
    </row>
    <row r="28" customFormat="false" ht="13.8" hidden="false" customHeight="false" outlineLevel="0" collapsed="false">
      <c r="B28" s="7" t="s">
        <v>8</v>
      </c>
      <c r="C28" s="8" t="n">
        <v>55</v>
      </c>
      <c r="D28" s="8" t="n">
        <v>43</v>
      </c>
      <c r="E28" s="9" t="s">
        <v>14</v>
      </c>
    </row>
    <row r="29" customFormat="false" ht="13.8" hidden="false" customHeight="false" outlineLevel="0" collapsed="false">
      <c r="B29" s="7" t="s">
        <v>9</v>
      </c>
      <c r="C29" s="14" t="n">
        <v>310</v>
      </c>
      <c r="D29" s="8"/>
      <c r="E29" s="9" t="s">
        <v>14</v>
      </c>
    </row>
    <row r="30" customFormat="false" ht="13.8" hidden="false" customHeight="false" outlineLevel="0" collapsed="false">
      <c r="B30" s="7" t="s">
        <v>10</v>
      </c>
      <c r="C30" s="8"/>
      <c r="D30" s="8" t="n">
        <v>30</v>
      </c>
      <c r="E30" s="9" t="s">
        <v>14</v>
      </c>
    </row>
    <row r="31" customFormat="false" ht="13.8" hidden="false" customHeight="false" outlineLevel="0" collapsed="false">
      <c r="B31" s="16" t="s">
        <v>11</v>
      </c>
      <c r="C31" s="17" t="n">
        <v>100</v>
      </c>
      <c r="D31" s="17"/>
      <c r="E31" s="18" t="s">
        <v>14</v>
      </c>
    </row>
    <row r="32" customFormat="false" ht="13.8" hidden="false" customHeight="false" outlineLevel="0" collapsed="false">
      <c r="B32" s="7" t="s">
        <v>4</v>
      </c>
      <c r="C32" s="8" t="n">
        <v>400</v>
      </c>
      <c r="D32" s="8" t="n">
        <v>400</v>
      </c>
      <c r="E32" s="18" t="s">
        <v>15</v>
      </c>
    </row>
    <row r="33" customFormat="false" ht="13.8" hidden="false" customHeight="false" outlineLevel="0" collapsed="false">
      <c r="B33" s="7" t="s">
        <v>6</v>
      </c>
      <c r="C33" s="8" t="n">
        <v>200</v>
      </c>
      <c r="D33" s="8" t="n">
        <v>200</v>
      </c>
      <c r="E33" s="18" t="s">
        <v>15</v>
      </c>
    </row>
    <row r="34" customFormat="false" ht="13.8" hidden="false" customHeight="false" outlineLevel="0" collapsed="false">
      <c r="B34" s="7" t="s">
        <v>7</v>
      </c>
      <c r="C34" s="8" t="n">
        <v>200</v>
      </c>
      <c r="D34" s="8" t="n">
        <v>200</v>
      </c>
      <c r="E34" s="18" t="s">
        <v>15</v>
      </c>
    </row>
    <row r="35" customFormat="false" ht="13.8" hidden="false" customHeight="false" outlineLevel="0" collapsed="false">
      <c r="B35" s="7" t="s">
        <v>8</v>
      </c>
      <c r="C35" s="8" t="n">
        <v>55</v>
      </c>
      <c r="D35" s="8" t="n">
        <v>43</v>
      </c>
      <c r="E35" s="18" t="s">
        <v>15</v>
      </c>
    </row>
    <row r="36" customFormat="false" ht="13.8" hidden="false" customHeight="false" outlineLevel="0" collapsed="false">
      <c r="B36" s="7" t="s">
        <v>9</v>
      </c>
      <c r="C36" s="14" t="n">
        <v>310</v>
      </c>
      <c r="D36" s="8"/>
      <c r="E36" s="18" t="s">
        <v>15</v>
      </c>
    </row>
    <row r="37" customFormat="false" ht="13.8" hidden="false" customHeight="false" outlineLevel="0" collapsed="false">
      <c r="B37" s="7" t="s">
        <v>10</v>
      </c>
      <c r="C37" s="8"/>
      <c r="D37" s="8" t="n">
        <v>93.88</v>
      </c>
      <c r="E37" s="18" t="s">
        <v>15</v>
      </c>
    </row>
    <row r="38" customFormat="false" ht="13.8" hidden="false" customHeight="false" outlineLevel="0" collapsed="false">
      <c r="B38" s="16" t="s">
        <v>11</v>
      </c>
      <c r="C38" s="17" t="n">
        <v>100</v>
      </c>
      <c r="D38" s="17"/>
      <c r="E38" s="18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P42"/>
  <sheetViews>
    <sheetView showFormulas="false" showGridLines="fals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27" activeCellId="0" sqref="E27"/>
    </sheetView>
  </sheetViews>
  <sheetFormatPr defaultColWidth="8.6015625" defaultRowHeight="13.5" customHeight="true" zeroHeight="false" outlineLevelRow="0" outlineLevelCol="0"/>
  <cols>
    <col collapsed="false" customWidth="true" hidden="false" outlineLevel="0" max="2" min="2" style="0" width="19.6"/>
    <col collapsed="false" customWidth="true" hidden="false" outlineLevel="0" max="3" min="3" style="0" width="17.4"/>
    <col collapsed="false" customWidth="true" hidden="false" outlineLevel="0" max="5" min="4" style="0" width="15.57"/>
    <col collapsed="false" customWidth="true" hidden="false" outlineLevel="0" max="7" min="6" style="0" width="12.8"/>
    <col collapsed="false" customWidth="true" hidden="false" outlineLevel="0" max="8" min="8" style="0" width="15.57"/>
    <col collapsed="false" customWidth="true" hidden="false" outlineLevel="0" max="9" min="9" style="0" width="13.4"/>
    <col collapsed="false" customWidth="true" hidden="false" outlineLevel="0" max="10" min="10" style="0" width="15.57"/>
    <col collapsed="false" customWidth="true" hidden="false" outlineLevel="0" max="11" min="11" style="0" width="9.2"/>
    <col collapsed="false" customWidth="true" hidden="false" outlineLevel="0" max="12" min="12" style="0" width="4.8"/>
    <col collapsed="false" customWidth="true" hidden="false" outlineLevel="0" max="13" min="13" style="0" width="5.9"/>
    <col collapsed="false" customWidth="true" hidden="false" outlineLevel="0" max="14" min="14" style="0" width="9.2"/>
    <col collapsed="false" customWidth="true" hidden="false" outlineLevel="0" max="15" min="15" style="0" width="9.6"/>
    <col collapsed="false" customWidth="true" hidden="false" outlineLevel="0" max="16" min="16" style="0" width="8.2"/>
    <col collapsed="false" customWidth="true" hidden="false" outlineLevel="0" max="17" min="17" style="0" width="19.5"/>
    <col collapsed="false" customWidth="true" hidden="false" outlineLevel="0" max="18" min="18" style="0" width="19.9"/>
    <col collapsed="false" customWidth="true" hidden="false" outlineLevel="0" max="19" min="19" style="0" width="9.5"/>
    <col collapsed="false" customWidth="true" hidden="false" outlineLevel="0" max="20" min="20" style="0" width="14.5"/>
    <col collapsed="false" customWidth="true" hidden="false" outlineLevel="0" max="21" min="21" style="0" width="7.1"/>
    <col collapsed="false" customWidth="true" hidden="false" outlineLevel="0" max="22" min="22" style="0" width="9.5"/>
    <col collapsed="false" customWidth="true" hidden="false" outlineLevel="0" max="23" min="23" style="0" width="9.7"/>
    <col collapsed="false" customWidth="true" hidden="false" outlineLevel="0" max="24" min="24" style="0" width="10.4"/>
    <col collapsed="false" customWidth="true" hidden="false" outlineLevel="0" max="25" min="25" style="0" width="8.1"/>
    <col collapsed="false" customWidth="true" hidden="false" outlineLevel="0" max="27" min="26" style="0" width="9.5"/>
    <col collapsed="false" customWidth="true" hidden="false" outlineLevel="0" max="28" min="28" style="0" width="10"/>
    <col collapsed="false" customWidth="true" hidden="false" outlineLevel="0" max="30" min="29" style="0" width="9.5"/>
    <col collapsed="false" customWidth="true" hidden="false" outlineLevel="0" max="31" min="31" style="0" width="9.6"/>
    <col collapsed="false" customWidth="true" hidden="false" outlineLevel="0" max="33" min="32" style="0" width="9.5"/>
    <col collapsed="false" customWidth="true" hidden="false" outlineLevel="0" max="34" min="34" style="0" width="10.7"/>
    <col collapsed="false" customWidth="true" hidden="false" outlineLevel="0" max="36" min="35" style="0" width="9.5"/>
    <col collapsed="false" customWidth="true" hidden="false" outlineLevel="0" max="37" min="37" style="0" width="11.6"/>
    <col collapsed="false" customWidth="true" hidden="false" outlineLevel="0" max="39" min="38" style="0" width="11.3"/>
    <col collapsed="false" customWidth="true" hidden="false" outlineLevel="0" max="40" min="40" style="0" width="14.5"/>
    <col collapsed="false" customWidth="true" hidden="false" outlineLevel="0" max="42" min="41" style="0" width="9.5"/>
    <col collapsed="false" customWidth="true" hidden="false" outlineLevel="0" max="43" min="43" style="0" width="9.7"/>
    <col collapsed="false" customWidth="true" hidden="false" outlineLevel="0" max="44" min="44" style="0" width="19.5"/>
    <col collapsed="false" customWidth="true" hidden="false" outlineLevel="0" max="45" min="45" style="0" width="19.9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customFormat="false" ht="13.8" hidden="false" customHeight="false" outlineLevel="0" collapsed="false">
      <c r="B4" s="22"/>
      <c r="C4" s="23" t="s">
        <v>0</v>
      </c>
      <c r="D4" s="24"/>
      <c r="E4" s="24"/>
      <c r="F4" s="24"/>
      <c r="G4" s="24"/>
      <c r="H4" s="24"/>
      <c r="I4" s="24"/>
      <c r="J4" s="25"/>
      <c r="K4" s="21"/>
      <c r="L4" s="21"/>
      <c r="M4" s="21"/>
      <c r="N4" s="21"/>
      <c r="O4" s="21"/>
      <c r="P4" s="21"/>
    </row>
    <row r="5" customFormat="false" ht="13.8" hidden="false" customHeight="false" outlineLevel="0" collapsed="false">
      <c r="B5" s="26" t="s">
        <v>16</v>
      </c>
      <c r="C5" s="27" t="s">
        <v>4</v>
      </c>
      <c r="D5" s="28" t="s">
        <v>6</v>
      </c>
      <c r="E5" s="28" t="s">
        <v>9</v>
      </c>
      <c r="F5" s="28" t="s">
        <v>11</v>
      </c>
      <c r="G5" s="28" t="s">
        <v>10</v>
      </c>
      <c r="H5" s="28" t="s">
        <v>7</v>
      </c>
      <c r="I5" s="28" t="s">
        <v>8</v>
      </c>
      <c r="J5" s="29" t="s">
        <v>17</v>
      </c>
      <c r="K5" s="21"/>
      <c r="L5" s="21"/>
      <c r="M5" s="21"/>
      <c r="N5" s="21"/>
      <c r="O5" s="21"/>
      <c r="P5" s="21"/>
    </row>
    <row r="6" customFormat="false" ht="13.8" hidden="false" customHeight="false" outlineLevel="0" collapsed="false">
      <c r="B6" s="30" t="s">
        <v>5</v>
      </c>
      <c r="C6" s="31"/>
      <c r="D6" s="31"/>
      <c r="E6" s="31"/>
      <c r="F6" s="31"/>
      <c r="G6" s="32"/>
      <c r="H6" s="31"/>
      <c r="I6" s="32"/>
      <c r="J6" s="33"/>
      <c r="K6" s="21"/>
      <c r="L6" s="21"/>
      <c r="M6" s="21"/>
      <c r="N6" s="21"/>
      <c r="O6" s="21"/>
      <c r="P6" s="21"/>
    </row>
    <row r="7" customFormat="false" ht="13.8" hidden="false" customHeight="false" outlineLevel="0" collapsed="false">
      <c r="B7" s="34" t="s">
        <v>18</v>
      </c>
      <c r="C7" s="35" t="n">
        <v>400</v>
      </c>
      <c r="D7" s="35" t="n">
        <v>200</v>
      </c>
      <c r="E7" s="35" t="n">
        <v>310</v>
      </c>
      <c r="F7" s="35" t="n">
        <v>100</v>
      </c>
      <c r="G7" s="35"/>
      <c r="H7" s="35" t="n">
        <v>200</v>
      </c>
      <c r="I7" s="35" t="n">
        <v>55</v>
      </c>
      <c r="J7" s="36" t="n">
        <v>1265</v>
      </c>
      <c r="K7" s="21"/>
      <c r="L7" s="21"/>
      <c r="M7" s="21"/>
      <c r="N7" s="21"/>
      <c r="O7" s="21"/>
      <c r="P7" s="21"/>
    </row>
    <row r="8" customFormat="false" ht="13.8" hidden="false" customHeight="false" outlineLevel="0" collapsed="false">
      <c r="B8" s="37" t="s">
        <v>19</v>
      </c>
      <c r="C8" s="35" t="n">
        <v>400</v>
      </c>
      <c r="D8" s="35" t="n">
        <v>200</v>
      </c>
      <c r="E8" s="35"/>
      <c r="F8" s="35"/>
      <c r="G8" s="35" t="n">
        <v>380</v>
      </c>
      <c r="H8" s="35" t="n">
        <v>250</v>
      </c>
      <c r="I8" s="35" t="n">
        <v>43</v>
      </c>
      <c r="J8" s="36" t="n">
        <v>1273</v>
      </c>
      <c r="K8" s="21"/>
      <c r="L8" s="21"/>
      <c r="M8" s="21"/>
      <c r="N8" s="21"/>
      <c r="O8" s="21"/>
      <c r="P8" s="21"/>
    </row>
    <row r="9" customFormat="false" ht="13.8" hidden="false" customHeight="false" outlineLevel="0" collapsed="false">
      <c r="B9" s="38" t="s">
        <v>12</v>
      </c>
      <c r="C9" s="32"/>
      <c r="D9" s="32"/>
      <c r="E9" s="32"/>
      <c r="F9" s="32"/>
      <c r="G9" s="32"/>
      <c r="H9" s="32"/>
      <c r="I9" s="32"/>
      <c r="J9" s="33"/>
      <c r="K9" s="21"/>
      <c r="L9" s="21"/>
      <c r="M9" s="21"/>
      <c r="N9" s="21"/>
      <c r="O9" s="21"/>
      <c r="P9" s="21"/>
    </row>
    <row r="10" customFormat="false" ht="13.8" hidden="false" customHeight="false" outlineLevel="0" collapsed="false">
      <c r="B10" s="39" t="s">
        <v>18</v>
      </c>
      <c r="C10" s="32" t="n">
        <v>400</v>
      </c>
      <c r="D10" s="32" t="n">
        <v>200</v>
      </c>
      <c r="E10" s="32" t="n">
        <v>310</v>
      </c>
      <c r="F10" s="32" t="n">
        <v>100</v>
      </c>
      <c r="G10" s="32"/>
      <c r="H10" s="32" t="n">
        <v>200</v>
      </c>
      <c r="I10" s="32" t="n">
        <v>55</v>
      </c>
      <c r="J10" s="33" t="n">
        <v>1265</v>
      </c>
      <c r="K10" s="21"/>
      <c r="L10" s="21"/>
      <c r="M10" s="21"/>
      <c r="N10" s="21"/>
      <c r="O10" s="21"/>
      <c r="P10" s="21"/>
    </row>
    <row r="11" customFormat="false" ht="13.8" hidden="false" customHeight="false" outlineLevel="0" collapsed="false">
      <c r="B11" s="37" t="s">
        <v>19</v>
      </c>
      <c r="C11" s="32" t="n">
        <v>400</v>
      </c>
      <c r="D11" s="32" t="n">
        <v>200</v>
      </c>
      <c r="E11" s="32"/>
      <c r="F11" s="32"/>
      <c r="G11" s="32" t="n">
        <v>200</v>
      </c>
      <c r="H11" s="32" t="n">
        <v>200</v>
      </c>
      <c r="I11" s="32" t="n">
        <v>43</v>
      </c>
      <c r="J11" s="33" t="n">
        <v>1043</v>
      </c>
      <c r="K11" s="21"/>
      <c r="L11" s="21"/>
      <c r="M11" s="21"/>
      <c r="N11" s="21"/>
      <c r="O11" s="21"/>
      <c r="P11" s="21"/>
    </row>
    <row r="12" customFormat="false" ht="13.8" hidden="false" customHeight="false" outlineLevel="0" collapsed="false">
      <c r="B12" s="38" t="s">
        <v>13</v>
      </c>
      <c r="C12" s="32"/>
      <c r="D12" s="32"/>
      <c r="E12" s="32"/>
      <c r="F12" s="32"/>
      <c r="G12" s="32"/>
      <c r="H12" s="32"/>
      <c r="I12" s="32"/>
      <c r="J12" s="33"/>
      <c r="K12" s="21"/>
      <c r="L12" s="21"/>
      <c r="M12" s="21"/>
      <c r="N12" s="21"/>
      <c r="O12" s="21"/>
      <c r="P12" s="21"/>
    </row>
    <row r="13" customFormat="false" ht="13.8" hidden="false" customHeight="false" outlineLevel="0" collapsed="false">
      <c r="B13" s="39" t="s">
        <v>18</v>
      </c>
      <c r="C13" s="32" t="n">
        <v>400</v>
      </c>
      <c r="D13" s="32" t="n">
        <v>200</v>
      </c>
      <c r="E13" s="32" t="n">
        <v>310</v>
      </c>
      <c r="F13" s="32" t="n">
        <v>100</v>
      </c>
      <c r="G13" s="32"/>
      <c r="H13" s="32" t="n">
        <v>200</v>
      </c>
      <c r="I13" s="32" t="n">
        <v>55</v>
      </c>
      <c r="J13" s="33" t="n">
        <v>1265</v>
      </c>
      <c r="K13" s="21"/>
      <c r="L13" s="21"/>
      <c r="M13" s="21"/>
      <c r="N13" s="21"/>
      <c r="O13" s="21"/>
      <c r="P13" s="21"/>
    </row>
    <row r="14" customFormat="false" ht="13.8" hidden="false" customHeight="false" outlineLevel="0" collapsed="false">
      <c r="B14" s="37" t="s">
        <v>19</v>
      </c>
      <c r="C14" s="32" t="n">
        <v>400</v>
      </c>
      <c r="D14" s="32" t="n">
        <v>200</v>
      </c>
      <c r="E14" s="32"/>
      <c r="F14" s="32"/>
      <c r="G14" s="32" t="n">
        <v>150</v>
      </c>
      <c r="H14" s="32" t="n">
        <v>200</v>
      </c>
      <c r="I14" s="32" t="n">
        <v>43</v>
      </c>
      <c r="J14" s="33" t="n">
        <v>993</v>
      </c>
      <c r="K14" s="21"/>
      <c r="L14" s="21"/>
      <c r="M14" s="21"/>
      <c r="N14" s="21"/>
      <c r="O14" s="21"/>
      <c r="P14" s="21"/>
    </row>
    <row r="15" customFormat="false" ht="13.8" hidden="false" customHeight="false" outlineLevel="0" collapsed="false">
      <c r="B15" s="38" t="s">
        <v>14</v>
      </c>
      <c r="C15" s="32"/>
      <c r="D15" s="32"/>
      <c r="E15" s="32"/>
      <c r="F15" s="32"/>
      <c r="G15" s="32"/>
      <c r="H15" s="32"/>
      <c r="I15" s="32"/>
      <c r="J15" s="33"/>
      <c r="K15" s="21"/>
      <c r="L15" s="21"/>
      <c r="M15" s="21"/>
      <c r="N15" s="21"/>
      <c r="O15" s="21"/>
      <c r="P15" s="21"/>
    </row>
    <row r="16" customFormat="false" ht="13.8" hidden="false" customHeight="false" outlineLevel="0" collapsed="false">
      <c r="B16" s="39" t="s">
        <v>18</v>
      </c>
      <c r="C16" s="32" t="n">
        <v>400</v>
      </c>
      <c r="D16" s="32" t="n">
        <v>200</v>
      </c>
      <c r="E16" s="32" t="n">
        <v>310</v>
      </c>
      <c r="F16" s="32" t="n">
        <v>100</v>
      </c>
      <c r="G16" s="32"/>
      <c r="H16" s="32" t="n">
        <v>200</v>
      </c>
      <c r="I16" s="32" t="n">
        <v>55</v>
      </c>
      <c r="J16" s="33" t="n">
        <v>1265</v>
      </c>
      <c r="K16" s="21"/>
      <c r="L16" s="21"/>
      <c r="M16" s="21"/>
      <c r="N16" s="21"/>
      <c r="O16" s="21"/>
      <c r="P16" s="21"/>
    </row>
    <row r="17" customFormat="false" ht="13.8" hidden="false" customHeight="false" outlineLevel="0" collapsed="false">
      <c r="B17" s="37" t="s">
        <v>19</v>
      </c>
      <c r="C17" s="32" t="n">
        <v>400</v>
      </c>
      <c r="D17" s="32" t="n">
        <v>200</v>
      </c>
      <c r="E17" s="32"/>
      <c r="F17" s="32"/>
      <c r="G17" s="32" t="n">
        <v>30</v>
      </c>
      <c r="H17" s="32" t="n">
        <v>200</v>
      </c>
      <c r="I17" s="32" t="n">
        <v>43</v>
      </c>
      <c r="J17" s="33" t="n">
        <v>873</v>
      </c>
      <c r="K17" s="21"/>
      <c r="L17" s="21"/>
      <c r="M17" s="21"/>
      <c r="N17" s="21"/>
      <c r="O17" s="21"/>
      <c r="P17" s="21"/>
    </row>
    <row r="18" customFormat="false" ht="13.8" hidden="false" customHeight="false" outlineLevel="0" collapsed="false">
      <c r="B18" s="38" t="s">
        <v>15</v>
      </c>
      <c r="C18" s="32"/>
      <c r="D18" s="32"/>
      <c r="E18" s="32"/>
      <c r="F18" s="32"/>
      <c r="G18" s="32"/>
      <c r="H18" s="32"/>
      <c r="I18" s="32"/>
      <c r="J18" s="33"/>
      <c r="K18" s="21"/>
      <c r="L18" s="21"/>
      <c r="M18" s="21"/>
      <c r="N18" s="21"/>
      <c r="O18" s="21"/>
      <c r="P18" s="21"/>
    </row>
    <row r="19" customFormat="false" ht="13.8" hidden="false" customHeight="false" outlineLevel="0" collapsed="false">
      <c r="B19" s="39" t="s">
        <v>18</v>
      </c>
      <c r="C19" s="32" t="n">
        <v>400</v>
      </c>
      <c r="D19" s="32" t="n">
        <v>200</v>
      </c>
      <c r="E19" s="32" t="n">
        <v>310</v>
      </c>
      <c r="F19" s="32" t="n">
        <v>100</v>
      </c>
      <c r="G19" s="32"/>
      <c r="H19" s="32" t="n">
        <v>200</v>
      </c>
      <c r="I19" s="32" t="n">
        <v>55</v>
      </c>
      <c r="J19" s="33" t="n">
        <v>1265</v>
      </c>
      <c r="K19" s="21"/>
      <c r="L19" s="21"/>
      <c r="M19" s="21"/>
      <c r="N19" s="21"/>
      <c r="O19" s="21"/>
      <c r="P19" s="21"/>
    </row>
    <row r="20" customFormat="false" ht="13.8" hidden="false" customHeight="false" outlineLevel="0" collapsed="false">
      <c r="B20" s="37" t="s">
        <v>19</v>
      </c>
      <c r="C20" s="32" t="n">
        <v>400</v>
      </c>
      <c r="D20" s="32" t="n">
        <v>200</v>
      </c>
      <c r="E20" s="32"/>
      <c r="F20" s="32"/>
      <c r="G20" s="32" t="n">
        <v>93.88</v>
      </c>
      <c r="H20" s="32" t="n">
        <v>200</v>
      </c>
      <c r="I20" s="32" t="n">
        <v>43</v>
      </c>
      <c r="J20" s="33" t="n">
        <v>936.88</v>
      </c>
      <c r="K20" s="21"/>
      <c r="L20" s="21"/>
      <c r="M20" s="21"/>
      <c r="N20" s="21"/>
      <c r="O20" s="21"/>
      <c r="P20" s="21"/>
    </row>
    <row r="21" customFormat="false" ht="13.8" hidden="false" customHeight="false" outlineLevel="0" collapsed="false">
      <c r="B21" s="40" t="s">
        <v>20</v>
      </c>
      <c r="C21" s="41" t="n">
        <v>2000</v>
      </c>
      <c r="D21" s="41" t="n">
        <v>1000</v>
      </c>
      <c r="E21" s="41" t="n">
        <v>1550</v>
      </c>
      <c r="F21" s="41" t="n">
        <v>500</v>
      </c>
      <c r="G21" s="41"/>
      <c r="H21" s="41" t="n">
        <v>1000</v>
      </c>
      <c r="I21" s="41" t="n">
        <v>275</v>
      </c>
      <c r="J21" s="33" t="n">
        <v>6325</v>
      </c>
      <c r="K21" s="21"/>
      <c r="L21" s="21"/>
      <c r="M21" s="21"/>
      <c r="N21" s="21"/>
      <c r="O21" s="21"/>
      <c r="P21" s="21"/>
    </row>
    <row r="22" customFormat="false" ht="13.8" hidden="false" customHeight="false" outlineLevel="0" collapsed="false">
      <c r="B22" s="42" t="s">
        <v>21</v>
      </c>
      <c r="C22" s="43" t="n">
        <v>2000</v>
      </c>
      <c r="D22" s="43" t="n">
        <v>1000</v>
      </c>
      <c r="E22" s="43"/>
      <c r="F22" s="43"/>
      <c r="G22" s="43" t="n">
        <v>853.88</v>
      </c>
      <c r="H22" s="43" t="n">
        <v>1050</v>
      </c>
      <c r="I22" s="43" t="n">
        <v>215</v>
      </c>
      <c r="J22" s="44" t="n">
        <v>5118.88</v>
      </c>
      <c r="K22" s="21"/>
      <c r="L22" s="21"/>
      <c r="M22" s="21"/>
      <c r="N22" s="21"/>
      <c r="O22" s="21"/>
      <c r="P22" s="21"/>
    </row>
    <row r="23" customFormat="false" ht="16.5" hidden="false" customHeight="false" outlineLevel="0" collapsed="false"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customFormat="false" ht="16.5" hidden="false" customHeight="false" outlineLevel="0" collapsed="false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customFormat="false" ht="16.5" hidden="false" customHeight="false" outlineLevel="0" collapsed="false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customFormat="false" ht="16.5" hidden="false" customHeight="false" outlineLevel="0" collapsed="false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customFormat="false" ht="16.5" hidden="false" customHeight="false" outlineLevel="0" collapsed="false"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customFormat="false" ht="16.5" hidden="false" customHeight="false" outlineLevel="0" collapsed="false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customFormat="false" ht="16.5" hidden="false" customHeight="false" outlineLevel="0" collapsed="false"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customFormat="false" ht="16.5" hidden="false" customHeight="false" outlineLevel="0" collapsed="false"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customFormat="false" ht="16.5" hidden="false" customHeight="false" outlineLevel="0" collapsed="false"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customFormat="false" ht="16.5" hidden="false" customHeight="false" outlineLevel="0" collapsed="false"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customFormat="false" ht="16.5" hidden="false" customHeight="false" outlineLevel="0" collapsed="false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customFormat="false" ht="16.5" hidden="false" customHeight="false" outlineLevel="0" collapsed="false"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customFormat="false" ht="16.5" hidden="false" customHeight="false" outlineLevel="0" collapsed="false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customFormat="false" ht="16.5" hidden="false" customHeight="false" outlineLevel="0" collapsed="false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customFormat="false" ht="16.5" hidden="false" customHeight="false" outlineLevel="0" collapsed="false"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customFormat="false" ht="16.5" hidden="false" customHeight="false" outlineLevel="0" collapsed="false"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customFormat="false" ht="16.5" hidden="false" customHeight="false" outlineLevel="0" collapsed="false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customFormat="false" ht="16.5" hidden="false" customHeight="false" outlineLevel="0" collapsed="false"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customFormat="false" ht="16.5" hidden="false" customHeight="false" outlineLevel="0" collapsed="false"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customFormat="false" ht="16.5" hidden="false" customHeight="false" outlineLevel="0" collapsed="false"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6015625" defaultRowHeight="13.5" customHeight="true" zeroHeight="false" outlineLevelRow="0" outlineLevelCol="0"/>
  <cols>
    <col collapsed="false" customWidth="true" hidden="false" outlineLevel="0" max="2" min="2" style="0" width="24.5"/>
    <col collapsed="false" customWidth="true" hidden="false" outlineLevel="0" max="3" min="3" style="0" width="19.4"/>
    <col collapsed="false" customWidth="true" hidden="false" outlineLevel="0" max="5" min="5" style="0" width="23.3"/>
    <col collapsed="false" customWidth="true" hidden="false" outlineLevel="0" max="6" min="6" style="0" width="13.8"/>
    <col collapsed="false" customWidth="true" hidden="false" outlineLevel="0" max="8" min="8" style="0" width="29.8"/>
    <col collapsed="false" customWidth="true" hidden="false" outlineLevel="0" max="9" min="9" style="0" width="24.72"/>
    <col collapsed="false" customWidth="true" hidden="false" outlineLevel="0" max="10" min="10" style="0" width="21.23"/>
    <col collapsed="false" customWidth="true" hidden="false" outlineLevel="0" max="11" min="11" style="0" width="15.4"/>
  </cols>
  <sheetData>
    <row r="3" customFormat="false" ht="44.25" hidden="false" customHeight="true" outlineLevel="0" collapsed="false">
      <c r="B3" s="45" t="s">
        <v>20</v>
      </c>
      <c r="C3" s="46" t="n">
        <f aca="false">VLOOKUP(B3,Dinamica!B5:J21,9)</f>
        <v>6325</v>
      </c>
      <c r="D3" s="21"/>
      <c r="E3" s="47" t="s">
        <v>22</v>
      </c>
      <c r="F3" s="46" t="n">
        <f aca="false">VLOOKUP(E3,Dinamica!B5:J22,9)</f>
        <v>5118.88</v>
      </c>
      <c r="G3" s="21"/>
      <c r="H3" s="48" t="s">
        <v>23</v>
      </c>
      <c r="I3" s="21"/>
      <c r="J3" s="21"/>
    </row>
    <row r="4" customFormat="false" ht="17.35" hidden="false" customHeight="false" outlineLevel="0" collapsed="false">
      <c r="B4" s="21"/>
      <c r="C4" s="21"/>
      <c r="D4" s="21"/>
      <c r="E4" s="21"/>
      <c r="F4" s="21"/>
      <c r="G4" s="21"/>
      <c r="H4" s="49" t="n">
        <f aca="false">17434-8500</f>
        <v>8934</v>
      </c>
      <c r="I4" s="21"/>
      <c r="J4" s="21"/>
    </row>
    <row r="5" customFormat="false" ht="17.35" hidden="false" customHeight="false" outlineLevel="0" collapsed="false">
      <c r="B5" s="21"/>
      <c r="C5" s="21"/>
      <c r="D5" s="21"/>
      <c r="E5" s="21"/>
      <c r="F5" s="21"/>
      <c r="G5" s="21"/>
      <c r="H5" s="50"/>
      <c r="I5" s="21"/>
      <c r="J5" s="21"/>
    </row>
    <row r="6" customFormat="false" ht="13.8" hidden="false" customHeight="false" outlineLevel="0" collapsed="false">
      <c r="B6" s="21"/>
      <c r="C6" s="21"/>
      <c r="D6" s="21"/>
      <c r="E6" s="21"/>
      <c r="F6" s="21"/>
      <c r="G6" s="21"/>
      <c r="H6" s="21"/>
      <c r="I6" s="21"/>
      <c r="J6" s="21"/>
    </row>
    <row r="7" customFormat="false" ht="19.7" hidden="false" customHeight="false" outlineLevel="0" collapsed="false">
      <c r="B7" s="21"/>
      <c r="C7" s="21"/>
      <c r="D7" s="21"/>
      <c r="E7" s="21"/>
      <c r="F7" s="21"/>
      <c r="G7" s="21"/>
      <c r="H7" s="51" t="s">
        <v>24</v>
      </c>
      <c r="I7" s="52" t="n">
        <v>12114.06</v>
      </c>
      <c r="J7" s="21"/>
    </row>
    <row r="8" customFormat="false" ht="37.3" hidden="false" customHeight="false" outlineLevel="0" collapsed="false">
      <c r="B8" s="21"/>
      <c r="C8" s="21"/>
      <c r="D8" s="21"/>
      <c r="E8" s="21"/>
      <c r="F8" s="21"/>
      <c r="G8" s="21"/>
      <c r="H8" s="51" t="s">
        <v>25</v>
      </c>
      <c r="I8" s="52" t="n">
        <v>13411.92</v>
      </c>
      <c r="J8" s="21"/>
    </row>
    <row r="9" customFormat="false" ht="19.7" hidden="false" customHeight="false" outlineLevel="0" collapsed="false">
      <c r="B9" s="21"/>
      <c r="C9" s="21"/>
      <c r="D9" s="21"/>
      <c r="E9" s="21"/>
      <c r="F9" s="21"/>
      <c r="G9" s="21"/>
      <c r="H9" s="51" t="s">
        <v>26</v>
      </c>
      <c r="I9" s="52" t="n">
        <f aca="false">SUM(I7,I8)</f>
        <v>25525.98</v>
      </c>
      <c r="J9" s="21"/>
    </row>
    <row r="10" customFormat="false" ht="13.8" hidden="false" customHeight="false" outlineLevel="0" collapsed="false">
      <c r="B10" s="21"/>
      <c r="C10" s="21"/>
      <c r="D10" s="21"/>
      <c r="E10" s="21"/>
      <c r="F10" s="21"/>
      <c r="G10" s="21"/>
      <c r="H10" s="21"/>
      <c r="I10" s="21"/>
      <c r="J10" s="21"/>
    </row>
    <row r="11" customFormat="false" ht="13.8" hidden="false" customHeight="false" outlineLevel="0" collapsed="false">
      <c r="B11" s="21"/>
      <c r="C11" s="21"/>
      <c r="D11" s="21"/>
      <c r="E11" s="21"/>
      <c r="F11" s="21"/>
      <c r="G11" s="21"/>
      <c r="H11" s="21"/>
      <c r="I11" s="21"/>
      <c r="J11" s="21"/>
    </row>
    <row r="12" customFormat="false" ht="13.8" hidden="false" customHeight="false" outlineLevel="0" collapsed="false">
      <c r="B12" s="21"/>
      <c r="C12" s="21"/>
      <c r="D12" s="21"/>
      <c r="E12" s="21"/>
      <c r="F12" s="21"/>
      <c r="G12" s="21"/>
      <c r="H12" s="21"/>
      <c r="I12" s="21"/>
      <c r="J12" s="21"/>
    </row>
    <row r="13" customFormat="false" ht="19.7" hidden="false" customHeight="false" outlineLevel="0" collapsed="false">
      <c r="B13" s="21"/>
      <c r="C13" s="21"/>
      <c r="D13" s="21"/>
      <c r="E13" s="21"/>
      <c r="F13" s="21"/>
      <c r="G13" s="21"/>
      <c r="H13" s="53" t="s">
        <v>27</v>
      </c>
      <c r="I13" s="53"/>
      <c r="J13" s="53"/>
    </row>
    <row r="14" customFormat="false" ht="17.35" hidden="false" customHeight="false" outlineLevel="0" collapsed="false">
      <c r="B14" s="21"/>
      <c r="C14" s="21"/>
      <c r="D14" s="21"/>
      <c r="E14" s="21"/>
      <c r="F14" s="21"/>
      <c r="G14" s="21"/>
      <c r="H14" s="54" t="s">
        <v>1</v>
      </c>
      <c r="I14" s="54" t="s">
        <v>2</v>
      </c>
      <c r="J14" s="54" t="s">
        <v>28</v>
      </c>
    </row>
    <row r="15" customFormat="false" ht="17.35" hidden="false" customHeight="false" outlineLevel="0" collapsed="false">
      <c r="B15" s="21"/>
      <c r="C15" s="21"/>
      <c r="D15" s="21"/>
      <c r="E15" s="21"/>
      <c r="F15" s="21"/>
      <c r="G15" s="21"/>
      <c r="H15" s="55" t="n">
        <v>2500</v>
      </c>
      <c r="I15" s="55" t="n">
        <v>2897</v>
      </c>
      <c r="J15" s="55" t="n">
        <f aca="false">SUM(H15:I15)</f>
        <v>5397</v>
      </c>
    </row>
    <row r="16" customFormat="false" ht="13.8" hidden="false" customHeight="false" outlineLevel="0" collapsed="false">
      <c r="B16" s="21"/>
      <c r="C16" s="21"/>
      <c r="D16" s="21"/>
      <c r="E16" s="21"/>
      <c r="F16" s="21"/>
      <c r="G16" s="21"/>
      <c r="H16" s="21"/>
      <c r="I16" s="21"/>
      <c r="J16" s="21"/>
    </row>
    <row r="17" customFormat="false" ht="21" hidden="false" customHeight="true" outlineLevel="0" collapsed="false">
      <c r="B17" s="21"/>
      <c r="C17" s="21"/>
      <c r="D17" s="21"/>
      <c r="E17" s="21"/>
      <c r="F17" s="21"/>
      <c r="G17" s="21"/>
      <c r="H17" s="56" t="s">
        <v>29</v>
      </c>
      <c r="I17" s="56"/>
      <c r="J17" s="56"/>
    </row>
    <row r="18" customFormat="false" ht="13.8" hidden="false" customHeight="false" outlineLevel="0" collapsed="false">
      <c r="B18" s="21"/>
      <c r="C18" s="21"/>
      <c r="D18" s="21"/>
      <c r="E18" s="21"/>
      <c r="F18" s="21"/>
      <c r="G18" s="21"/>
      <c r="H18" s="57" t="s">
        <v>1</v>
      </c>
      <c r="I18" s="58" t="s">
        <v>2</v>
      </c>
      <c r="J18" s="59" t="s">
        <v>30</v>
      </c>
    </row>
    <row r="19" customFormat="false" ht="15" hidden="false" customHeight="false" outlineLevel="0" collapsed="false">
      <c r="B19" s="21"/>
      <c r="C19" s="21"/>
      <c r="D19" s="21"/>
      <c r="E19" s="21"/>
      <c r="F19" s="21"/>
      <c r="G19" s="21"/>
      <c r="H19" s="60" t="n">
        <v>800</v>
      </c>
      <c r="I19" s="61" t="n">
        <v>800</v>
      </c>
      <c r="J19" s="62" t="n">
        <f aca="false">SUM(H19,I19)</f>
        <v>1600</v>
      </c>
    </row>
    <row r="20" customFormat="false" ht="13.8" hidden="false" customHeight="false" outlineLevel="0" collapsed="false">
      <c r="B20" s="21"/>
      <c r="C20" s="21"/>
      <c r="D20" s="21"/>
      <c r="E20" s="21"/>
      <c r="F20" s="21"/>
      <c r="G20" s="21"/>
      <c r="H20" s="21"/>
      <c r="I20" s="21"/>
      <c r="J20" s="21"/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</sheetData>
  <mergeCells count="2">
    <mergeCell ref="H13:J13"/>
    <mergeCell ref="H17:J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8046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2025-07-15T20:49:50Z</dcterms:created>
  <dc:creator/>
  <dc:description/>
  <dc:language>pt-BR</dc:language>
  <cp:lastModifiedBy/>
  <dcterms:modified xsi:type="dcterms:W3CDTF">2025-08-31T14:06:40Z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